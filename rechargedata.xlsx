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practicals\"/>
    </mc:Choice>
  </mc:AlternateContent>
  <bookViews>
    <workbookView xWindow="0" yWindow="0" windowWidth="28800" windowHeight="12300" activeTab="1"/>
  </bookViews>
  <sheets>
    <sheet name="Sheet1" sheetId="2" r:id="rId1"/>
    <sheet name="dashboard" sheetId="3" r:id="rId2"/>
    <sheet name="rechargedata" sheetId="1" r:id="rId3"/>
  </sheets>
  <definedNames>
    <definedName name="Slicer_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<sst xmlns="http://schemas.openxmlformats.org/spreadsheetml/2006/main" count="99" uniqueCount="28">
  <si>
    <t>user_id</t>
  </si>
  <si>
    <t>amount</t>
  </si>
  <si>
    <t>recharge_type</t>
  </si>
  <si>
    <t>date</t>
  </si>
  <si>
    <t>status</t>
  </si>
  <si>
    <t>plan_name</t>
  </si>
  <si>
    <t>Region</t>
  </si>
  <si>
    <t>prepaid</t>
  </si>
  <si>
    <t>success</t>
  </si>
  <si>
    <t>Data Pack</t>
  </si>
  <si>
    <t>East</t>
  </si>
  <si>
    <t>postpaid</t>
  </si>
  <si>
    <t>Monthly Plan</t>
  </si>
  <si>
    <t>West</t>
  </si>
  <si>
    <t>failed</t>
  </si>
  <si>
    <t>TalkTime</t>
  </si>
  <si>
    <t>Super Saver</t>
  </si>
  <si>
    <t>North</t>
  </si>
  <si>
    <t>SMS Pack</t>
  </si>
  <si>
    <t>Annual Lite</t>
  </si>
  <si>
    <t>South</t>
  </si>
  <si>
    <t>Premium Plan</t>
  </si>
  <si>
    <t>Monthly Mini</t>
  </si>
  <si>
    <t>Row Labels</t>
  </si>
  <si>
    <t>Grand Total</t>
  </si>
  <si>
    <t>Sum of amount</t>
  </si>
  <si>
    <t>Count of user_id</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</si>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</sst>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33" borderId="10" xfId="0" applyFont="1" applyFill="1" applyBorder="1" applyAlignment="1">
      <alignment horizontal="center"/>
    </xf>
    <xf numFmtId="0" fontId="0" fillId="33" borderId="10" xfId="0" applyFill="1" applyBorder="1" applyAlignment="1">
      <alignment horizontal="center"/>
    </xf>
    <xf numFmtId="14" fontId="0" fillId="33" borderId="10" xfId="0" applyNumberForma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[rechargedata.xlsx]Sheet1!PivotTable1</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sum of amount by user</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Sheet1!$A$4:$A$18</c:f>
              <c:strCache>
                <c:ptCount val="14"/>
                <c:pt idx="0">
                  <c:v>101</c:v>
                </c:pt>
                <c:pt idx="1">
                  <c:v>102</c:v>
                </c:pt>
                <c:pt idx="2">
                  <c:v>103</c:v>
                </c:pt>
                <c:pt idx="3">
                  <c:v>105</c:v>
                </c:pt>
                <c:pt idx="4">
                  <c:v>106</c:v>
                </c:pt>
                <c:pt idx="5">
                  <c:v>107</c:v>
                </c:pt>
                <c:pt idx="6">
                  <c:v>108</c:v>
                </c:pt>
                <c:pt idx="7">
                  <c:v>109</c:v>
                </c:pt>
                <c:pt idx="8">
                  <c:v>110</c:v>
                </c:pt>
                <c:pt idx="9">
                  <c:v>111</c:v>
                </c:pt>
                <c:pt idx="10">
                  <c:v>112</c:v>
                </c:pt>
                <c:pt idx="11">
                  <c:v>113</c:v>
                </c:pt>
                <c:pt idx="12">
                  <c:v>114</c:v>
                </c:pt>
                <c:pt idx="13">
                  <c:v>115</c:v>
                </c:pt>
              </c:strCache>
            </c:strRef>
          </c:cat>
          <c:val>
            <c:numRef>
              <c:f>Sheet1!$B$4:$B$18</c:f>
              <c:numCache>
                <c:formatCode>General</c:formatCode>
                <c:ptCount val="14"/>
                <c:pt idx="0">
                  <c:v>23</c:v>
                </c:pt>
                <c:pt idx="1">
                  <c:v>26</c:v>
                </c:pt>
                <c:pt idx="2">
                  <c:v>99</c:v>
                </c:pt>
                <c:pt idx="3">
                  <c:v>648</c:v>
                </c:pt>
                <c:pt idx="4">
                  <c:v>498</c:v>
                </c:pt>
                <c:pt idx="5">
                  <c:v>50</c:v>
                </c:pt>
                <c:pt idx="6">
                  <c:v>399</c:v>
                </c:pt>
                <c:pt idx="7">
                  <c:v>129</c:v>
                </c:pt>
                <c:pt idx="8">
                  <c:v>299</c:v>
                </c:pt>
                <c:pt idx="9">
                  <c:v>26</c:v>
                </c:pt>
                <c:pt idx="10">
                  <c:v>599</c:v>
                </c:pt>
                <c:pt idx="11">
                  <c:v>79</c:v>
                </c:pt>
                <c:pt idx="12">
                  <c:v>199</c:v>
                </c:pt>
                <c:pt idx="13">
                  <c:v>259</c:v>
                </c:pt>
              </c:numCache>
            </c:numRef>
          </c:val>
          <c:smooth val="0"/>
          <c:extLst>
            <c:ext xmlns:c16="http://schemas.microsoft.com/office/drawing/2014/chart" uri="{C3380CC4-5D6E-409C-BE32-E72D297353CC}">
              <c16:uniqueId val="{00000000-6F66-4B3C-AFB6-AF7CA0CB7E11}"/>
            </c:ext>
          </c:extLst>
        </c:ser>
        <c:dLbls>
          <c:dLblPos val="t"/>
          <c:showLegendKey val="0"/>
          <c:showVal val="1"/>
          <c:showCatName val="0"/>
          <c:showSerName val="0"/>
          <c:showPercent val="0"/>
          <c:showBubbleSize val="0"/>
        </c:dLbls>
        <c:smooth val="0"/>
        <c:axId val="246081616"/>
        <c:axId val="246075792"/>
      </c:lineChart>
      <c:catAx>
        <c:axId val="2460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46075792"/>
        <c:crosses val="autoZero"/>
        <c:auto val="1"/>
        <c:lblAlgn val="ctr"/>
        <c:lblOffset val="100"/>
        <c:noMultiLvlLbl val="0"/>
      </c:catAx>
      <c:valAx>
        <c:axId val="246075792"/>
        <c:scaling>
          <c:orientation val="minMax"/>
        </c:scaling>
        <c:delete val="1"/>
        <c:axPos val="l"/>
        <c:numFmt formatCode="General" sourceLinked="1"/>
        <c:majorTickMark val="none"/>
        <c:minorTickMark val="none"/>
        <c:tickLblPos val="nextTo"/>
        <c:crossAx val="246081616"/>
        <c:crosses val="autoZero"/>
        <c:crossBetween val="between"/>
      </c:valAx>
      <c:spPr>
        <a:noFill/>
        <a:ln w="25400">
          <a:noFill/>
        </a:ln>
        <a:effectLst/>
      </c:spPr>
    </c:plotArea>
    <c:plotVisOnly val="1"/>
    <c:dispBlanksAs val="gap"/>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[rechargedata.xlsx]Sheet1!PivotTable2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users of plan name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25400">
          <a:noFill/>
        </a:ln>
        <a:effectLst/>
        <a:sp3d/>
      </c:spPr>
    </c:sideWall>
    <c:backWall>
      <c:thickness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25400">
          <a:noFill/>
        </a:ln>
        <a:effectLst/>
        <a:sp3d/>
      </c:spPr>
    </c:backWall>
    <c:plotArea>
      <c:layout/>
      <c:bar3DChart>
        <c:barDir val="col"/>
        <c:grouping val="clustered"/>
        <c:varyColors val="0"/>
        <c:ser>
          <c:idx val="0"/>
          <c:order val="0"/>
          <c:tx>
            <c:strRef>
              <c:f>Sheet1!$E$3</c:f>
              <c:strCache>
                <c:ptCount val="1"/>
                <c:pt idx="0">
                  <c:v>Total</c:v>
                </c:pt>
              </c:strCache>
            </c:strRef>
          </c:tx>
          <c:spPr>
            <a:solidFill>
              <a:schemeClr val="accent1"/>
            </a:solidFill>
            <a:ln>
              <a:noFill/>
            </a:ln>
            <a:effectLst/>
            <a:sp3d/>
          </c:spPr>
          <c:invertIfNegative val="0"/>
          <c:dLbls>
            <c:delete val="1"/>
          </c:dLbls>
          <c:cat>
            <c:strRef>
              <c:f>Sheet1!$D$4:$D$12</c:f>
              <c:strCache>
                <c:ptCount val="8"/>
                <c:pt idx="0">
                  <c:v>Annual Lite</c:v>
                </c:pt>
                <c:pt idx="1">
                  <c:v>Data Pack</c:v>
                </c:pt>
                <c:pt idx="2">
                  <c:v>Monthly Mini</c:v>
                </c:pt>
                <c:pt idx="3">
                  <c:v>Monthly Plan</c:v>
                </c:pt>
                <c:pt idx="4">
                  <c:v>Premium Plan</c:v>
                </c:pt>
                <c:pt idx="5">
                  <c:v>SMS Pack</c:v>
                </c:pt>
                <c:pt idx="6">
                  <c:v>Super Saver</c:v>
                </c:pt>
                <c:pt idx="7">
                  <c:v>TalkTime</c:v>
                </c:pt>
              </c:strCache>
            </c:strRef>
          </c:cat>
          <c:val>
            <c:numRef>
              <c:f>Sheet1!$E$4:$E$12</c:f>
              <c:numCache>
                <c:formatCode>General</c:formatCode>
                <c:ptCount val="8"/>
                <c:pt idx="0">
                  <c:v>1</c:v>
                </c:pt>
                <c:pt idx="1">
                  <c:v>4</c:v>
                </c:pt>
                <c:pt idx="2">
                  <c:v>1</c:v>
                </c:pt>
                <c:pt idx="3">
                  <c:v>4</c:v>
                </c:pt>
                <c:pt idx="4">
                  <c:v>1</c:v>
                </c:pt>
                <c:pt idx="5">
                  <c:v>2</c:v>
                </c:pt>
                <c:pt idx="6">
                  <c:v>1</c:v>
                </c:pt>
                <c:pt idx="7">
                  <c:v>2</c:v>
                </c:pt>
              </c:numCache>
            </c:numRef>
          </c:val>
          <c:extLst>
            <c:ext xmlns:c16="http://schemas.microsoft.com/office/drawing/2014/chart" uri="{C3380CC4-5D6E-409C-BE32-E72D297353CC}">
              <c16:uniqueId val="{00000000-23B5-41CB-BB22-02F857AE8CF2}"/>
            </c:ext>
          </c:extLst>
        </c:ser>
        <c:dLbls>
          <c:showLegendKey val="0"/>
          <c:showVal val="1"/>
          <c:showCatName val="0"/>
          <c:showSerName val="0"/>
          <c:showPercent val="0"/>
          <c:showBubbleSize val="0"/>
        </c:dLbls>
        <c:gapWidth val="150"/>
        <c:shape val="box"/>
        <c:axId val="247328224"/>
        <c:axId val="247329472"/>
        <c:axId val="0"/>
      </c:bar3DChart>
      <c:catAx>
        <c:axId val="247328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29472"/>
        <c:crosses val="autoZero"/>
        <c:auto val="1"/>
        <c:lblAlgn val="ctr"/>
        <c:lblOffset val="100"/>
        <c:noMultiLvlLbl val="0"/>
      </c:catAx>
      <c:valAx>
        <c:axId val="247329472"/>
        <c:scaling>
          <c:orientation val="minMax"/>
        </c:scaling>
        <c:delete val="1"/>
        <c:axPos val="l"/>
        <c:numFmt formatCode="General" sourceLinked="1"/>
        <c:majorTickMark val="none"/>
        <c:minorTickMark val="none"/>
        <c:tickLblPos val="nextTo"/>
        <c:crossAx val="247328224"/>
        <c:crosses val="autoZero"/>
        <c:crossBetween val="between"/>
      </c:valAx>
      <c:spPr>
        <a:noFill/>
        <a:ln>
          <a:noFill/>
        </a:ln>
        <a:effectLst/>
      </c:spPr>
    </c:plotArea>
    <c:plotVisOnly val="1"/>
    <c:dispBlanksAs val="gap"/>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[rechargedata.xlsx]Sheet1!PivotTable3</c:name>
    <c:fmtId val="3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5E-486E-AB8C-1337CCCFAC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5E-486E-AB8C-1337CCCFAC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5E-486E-AB8C-1337CCCFAC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5E-486E-AB8C-1337CCCFAC35}"/>
              </c:ext>
            </c:extLst>
          </c:dPt>
          <c:cat>
            <c:strRef>
              <c:f>Sheet1!$G$4:$G$8</c:f>
              <c:strCache>
                <c:ptCount val="4"/>
                <c:pt idx="0">
                  <c:v>East</c:v>
                </c:pt>
                <c:pt idx="1">
                  <c:v>North</c:v>
                </c:pt>
                <c:pt idx="2">
                  <c:v>South</c:v>
                </c:pt>
                <c:pt idx="3">
                  <c:v>West</c:v>
                </c:pt>
              </c:strCache>
            </c:strRef>
          </c:cat>
          <c:val>
            <c:numRef>
              <c:f>Sheet1!$H$4:$H$8</c:f>
              <c:numCache>
                <c:formatCode>General</c:formatCode>
                <c:ptCount val="4"/>
                <c:pt idx="0">
                  <c:v>5</c:v>
                </c:pt>
                <c:pt idx="1">
                  <c:v>5</c:v>
                </c:pt>
                <c:pt idx="2">
                  <c:v>2</c:v>
                </c:pt>
                <c:pt idx="3">
                  <c:v>4</c:v>
                </c:pt>
              </c:numCache>
            </c:numRef>
          </c:val>
          <c:extLst>
            <c:ext xmlns:c16="http://schemas.microsoft.com/office/drawing/2014/chart" uri="{C3380CC4-5D6E-409C-BE32-E72D297353CC}">
              <c16:uniqueId val="{00000008-655E-486E-AB8C-1337CCCFAC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[rechargedata.xlsx]Sheet1!PivotTable4</c:name>
    <c:fmtId val="3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278629667841803"/>
          <c:y val="6.4304450221556897E-2"/>
          <c:w val="0.77619434191459113"/>
          <c:h val="0.78860477023097653"/>
        </c:manualLayout>
      </c:layout>
      <c:barChart>
        <c:barDir val="bar"/>
        <c:grouping val="clustered"/>
        <c:varyColors val="0"/>
        <c:ser>
          <c:idx val="0"/>
          <c:order val="0"/>
          <c:tx>
            <c:strRef>
              <c:f>Sheet1!$H$13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Sheet1!$G$14:$G$18</c:f>
              <c:strCache>
                <c:ptCount val="4"/>
                <c:pt idx="0">
                  <c:v>East</c:v>
                </c:pt>
                <c:pt idx="1">
                  <c:v>North</c:v>
                </c:pt>
                <c:pt idx="2">
                  <c:v>South</c:v>
                </c:pt>
                <c:pt idx="3">
                  <c:v>West</c:v>
                </c:pt>
              </c:strCache>
            </c:strRef>
          </c:cat>
          <c:val>
            <c:numRef>
              <c:f>Sheet1!$H$14:$H$18</c:f>
              <c:numCache>
                <c:formatCode>General</c:formatCode>
                <c:ptCount val="4"/>
                <c:pt idx="0">
                  <c:v>750</c:v>
                </c:pt>
                <c:pt idx="1">
                  <c:v>1022</c:v>
                </c:pt>
                <c:pt idx="2">
                  <c:v>428</c:v>
                </c:pt>
                <c:pt idx="3">
                  <c:v>1133</c:v>
                </c:pt>
              </c:numCache>
            </c:numRef>
          </c:val>
          <c:extLst>
            <c:ext xmlns:c16="http://schemas.microsoft.com/office/drawing/2014/chart" uri="{C3380CC4-5D6E-409C-BE32-E72D297353CC}">
              <c16:uniqueId val="{00000000-BA4D-44E1-9A47-587855554D06}"/>
            </c:ext>
          </c:extLst>
        </c:ser>
        <c:dLbls>
          <c:dLblPos val="outEnd"/>
          <c:showLegendKey val="0"/>
          <c:showVal val="1"/>
          <c:showCatName val="0"/>
          <c:showSerName val="0"/>
          <c:showPercent val="0"/>
          <c:showBubbleSize val="0"/>
        </c:dLbls>
        <c:gapWidth val="182"/>
        <c:axId val="246076208"/>
        <c:axId val="246077040"/>
      </c:barChart>
      <c:catAx>
        <c:axId val="24607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077040"/>
        <c:crosses val="autoZero"/>
        <c:auto val="1"/>
        <c:lblAlgn val="ctr"/>
        <c:lblOffset val="100"/>
        <c:noMultiLvlLbl val="0"/>
      </c:catAx>
      <c:valAx>
        <c:axId val="24607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076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66675</xdr:rowOff>
    </xdr:from>
    <xdr:to>
      <xdr:col>6</xdr:col>
      <xdr:colOff>171450</xdr:colOff>
      <xdr:row>33</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200025</xdr:colOff>
      <xdr:row>0</xdr:row>
      <xdr:rowOff>180976</xdr:rowOff>
    </xdr:from>
    <xdr:to>
      <xdr:col>14</xdr:col>
      <xdr:colOff>133350</xdr:colOff>
      <xdr:row>16</xdr:row>
      <xdr:rowOff>47626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238125</xdr:colOff>
      <xdr:row>17</xdr:row>
      <xdr:rowOff>57150</xdr:rowOff>
    </xdr:from>
    <xdr:to>
      <xdr:col>14</xdr:col>
      <xdr:colOff>9525</xdr:colOff>
      <xdr:row>33</xdr:row>
      <xdr:rowOff>142875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247650</xdr:colOff>
      <xdr:row>1</xdr:row>
      <xdr:rowOff>66677</xdr:rowOff>
    </xdr:from>
    <xdr:to>
      <xdr:col>5</xdr:col>
      <xdr:colOff>438151</xdr:colOff>
      <xdr:row>14</xdr:row>
      <xdr:rowOff>19051</xdr:rowOff>
    </xdr:to>
    <mc:AlternateContent xmlns:mc="http://schemas.openxmlformats.org/markup-compatibility/2006" xmlns:a14="http://schemas.microsoft.com/office/drawing/2010/main">
      <mc:Choice Requires="a14">
        <xdr:graphicFrame macro="">
          <xdr:nvGraphicFramePr>
            <xdr:cNvPr id="5"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47650" y="257177"/>
              <a:ext cx="3238501" cy="2428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209550</xdr:colOff>
      <xdr:row>1</xdr:row>
      <xdr:rowOff>19049</xdr:rowOff>
    </xdr:from>
    <xdr:to>
      <xdr:col>19</xdr:col>
      <xdr:colOff>561975</xdr:colOff>
      <xdr:row>32</xdr:row>
      <xdr:rowOff>104775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94.918759722219" createdVersion="6" refreshedVersion="6" minRefreshableVersion="3" recordCount="16">
  <cacheSource type="worksheet">
    <worksheetSource ref="A1:G17" sheet="rechargedata"/>
  </cacheSource>
  <cacheFields count="7">
    <cacheField name="user_id" numFmtId="0">
      <sharedItems containsSemiMixedTypes="0" containsString="0" containsNumber="1" containsInteger="1" minValue="101" maxValue="115" count="14">
        <n v="101"/>
        <n v="102"/>
        <n v="103"/>
        <n v="105"/>
        <n v="106"/>
        <n v="107"/>
        <n v="108"/>
        <n v="109"/>
        <n v="110"/>
        <n v="111"/>
        <n v="112"/>
        <n v="113"/>
        <n v="114"/>
        <n v="115"/>
      </sharedItems>
    </cacheField>
    <cacheField name="amount" numFmtId="0">
      <sharedItems containsSemiMixedTypes="0" containsString="0" containsNumber="1" containsInteger="1" minValue="23" maxValue="599"/>
    </cacheField>
    <cacheField name="recharge_type" numFmtId="0">
      <sharedItems/>
    </cacheField>
    <cacheField name="date" numFmtId="14">
      <sharedItems containsSemiMixedTypes="0" containsNonDate="0" containsDate="1" containsString="0" minDate="2025-01-01T00:00:00" maxDate="2025-01-16T00:00:00" count="1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sharedItems>
    </cacheField>
    <cacheField name="status" numFmtId="0">
      <sharedItems/>
    </cacheField>
    <cacheField name="plan_name" numFmtId="0">
      <sharedItems count="8">
        <s v="Data Pack"/>
        <s v="Monthly Plan"/>
        <s v="TalkTime"/>
        <s v="Super Saver"/>
        <s v="SMS Pack"/>
        <s v="Annual Lite"/>
        <s v="Premium Plan"/>
        <s v="Monthly Mini"/>
      </sharedItems>
    </cacheField>
    <cacheField name="Region" numFmtId="0">
      <sharedItems count="4">
        <s v="East"/>
        <s v="West"/>
        <s v="North"/>
        <s v="Sout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
  <r>
    <x v="0"/>
    <n v="23"/>
    <s v="prepaid"/>
    <x v="0"/>
    <s v="success"/>
    <x v="0"/>
    <x v="0"/>
  </r>
  <r>
    <x v="1"/>
    <n v="26"/>
    <s v="postpaid"/>
    <x v="1"/>
    <s v="success"/>
    <x v="1"/>
    <x v="1"/>
  </r>
  <r>
    <x v="2"/>
    <n v="99"/>
    <s v="prepaid"/>
    <x v="2"/>
    <s v="failed"/>
    <x v="2"/>
    <x v="0"/>
  </r>
  <r>
    <x v="3"/>
    <n v="499"/>
    <s v="postpaid"/>
    <x v="3"/>
    <s v="success"/>
    <x v="3"/>
    <x v="0"/>
  </r>
  <r>
    <x v="3"/>
    <n v="149"/>
    <s v="prepaid"/>
    <x v="4"/>
    <s v="success"/>
    <x v="0"/>
    <x v="2"/>
  </r>
  <r>
    <x v="4"/>
    <n v="249"/>
    <s v="postpaid"/>
    <x v="5"/>
    <s v="success"/>
    <x v="1"/>
    <x v="1"/>
  </r>
  <r>
    <x v="4"/>
    <n v="249"/>
    <s v="postpaid"/>
    <x v="5"/>
    <s v="success"/>
    <x v="1"/>
    <x v="2"/>
  </r>
  <r>
    <x v="5"/>
    <n v="50"/>
    <s v="prepaid"/>
    <x v="6"/>
    <s v="failed"/>
    <x v="4"/>
    <x v="0"/>
  </r>
  <r>
    <x v="6"/>
    <n v="399"/>
    <s v="postpaid"/>
    <x v="7"/>
    <s v="success"/>
    <x v="5"/>
    <x v="2"/>
  </r>
  <r>
    <x v="7"/>
    <n v="129"/>
    <s v="prepaid"/>
    <x v="8"/>
    <s v="success"/>
    <x v="2"/>
    <x v="3"/>
  </r>
  <r>
    <x v="8"/>
    <n v="299"/>
    <s v="postpaid"/>
    <x v="9"/>
    <s v="success"/>
    <x v="1"/>
    <x v="3"/>
  </r>
  <r>
    <x v="9"/>
    <n v="26"/>
    <s v="prepaid"/>
    <x v="10"/>
    <s v="success"/>
    <x v="0"/>
    <x v="2"/>
  </r>
  <r>
    <x v="10"/>
    <n v="599"/>
    <s v="postpaid"/>
    <x v="11"/>
    <s v="success"/>
    <x v="6"/>
    <x v="1"/>
  </r>
  <r>
    <x v="11"/>
    <n v="79"/>
    <s v="prepaid"/>
    <x v="12"/>
    <s v="failed"/>
    <x v="4"/>
    <x v="0"/>
  </r>
  <r>
    <x v="12"/>
    <n v="199"/>
    <s v="postpaid"/>
    <x v="13"/>
    <s v="success"/>
    <x v="7"/>
    <x v="2"/>
  </r>
  <r>
    <x v="13"/>
    <n v="259"/>
    <s v="prepaid"/>
    <x v="14"/>
    <s v="success"/>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D3:E12" firstHeaderRow="1" firstDataRow="1" firstDataCol="1"/>
  <pivotFields count="7">
    <pivotField dataField="1" showAll="0">
      <items count="15">
        <item x="0"/>
        <item x="1"/>
        <item x="2"/>
        <item x="3"/>
        <item x="4"/>
        <item x="5"/>
        <item x="6"/>
        <item x="7"/>
        <item x="8"/>
        <item x="9"/>
        <item x="10"/>
        <item x="11"/>
        <item x="12"/>
        <item x="13"/>
        <item t="default"/>
      </items>
    </pivotField>
    <pivotField showAll="0"/>
    <pivotField showAll="0"/>
    <pivotField numFmtId="14" showAll="0">
      <items count="16">
        <item x="0"/>
        <item x="1"/>
        <item x="2"/>
        <item x="3"/>
        <item x="4"/>
        <item x="5"/>
        <item x="6"/>
        <item x="7"/>
        <item x="8"/>
        <item x="9"/>
        <item x="10"/>
        <item x="11"/>
        <item x="12"/>
        <item x="13"/>
        <item x="14"/>
        <item t="default"/>
      </items>
    </pivotField>
    <pivotField showAll="0"/>
    <pivotField axis="axisRow" showAll="0">
      <items count="9">
        <item x="5"/>
        <item x="0"/>
        <item x="7"/>
        <item x="1"/>
        <item x="6"/>
        <item x="4"/>
        <item x="3"/>
        <item x="2"/>
        <item t="default"/>
      </items>
    </pivotField>
    <pivotField showAll="0"/>
  </pivotFields>
  <rowFields count="1">
    <field x="5"/>
  </rowFields>
  <rowItems count="9">
    <i>
      <x/>
    </i>
    <i>
      <x v="1"/>
    </i>
    <i>
      <x v="2"/>
    </i>
    <i>
      <x v="3"/>
    </i>
    <i>
      <x v="4"/>
    </i>
    <i>
      <x v="5"/>
    </i>
    <i>
      <x v="6"/>
    </i>
    <i>
      <x v="7"/>
    </i>
    <i t="grand">
      <x/>
    </i>
  </rowItems>
  <colItems count="1">
    <i/>
  </colItems>
  <dataFields count="1">
    <dataField name="Count of user_id" fld="0" subtotal="count" baseField="5" baseItem="4"/>
  </dataFields>
  <chartFormats count="1">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8" firstHeaderRow="1" firstDataRow="1" firstDataCol="1"/>
  <pivotFields count="7">
    <pivotField axis="axisRow" showAll="0">
      <items count="15">
        <item x="0"/>
        <item x="1"/>
        <item x="2"/>
        <item x="3"/>
        <item x="4"/>
        <item x="5"/>
        <item x="6"/>
        <item x="7"/>
        <item x="8"/>
        <item x="9"/>
        <item x="10"/>
        <item x="11"/>
        <item x="12"/>
        <item x="13"/>
        <item t="default"/>
      </items>
    </pivotField>
    <pivotField dataField="1" showAll="0"/>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amount" fld="1"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location ref="G13:H18" firstHeaderRow="1" firstDataRow="1" firstDataCol="1"/>
  <pivotFields count="7">
    <pivotField showAll="0">
      <items count="15">
        <item x="0"/>
        <item x="1"/>
        <item x="2"/>
        <item x="3"/>
        <item x="4"/>
        <item x="5"/>
        <item x="6"/>
        <item x="7"/>
        <item x="8"/>
        <item x="9"/>
        <item x="10"/>
        <item x="11"/>
        <item x="12"/>
        <item x="13"/>
        <item t="default"/>
      </items>
    </pivotField>
    <pivotField dataField="1" showAll="0"/>
    <pivotField showAll="0"/>
    <pivotField numFmtId="14" showAll="0">
      <items count="16">
        <item x="0"/>
        <item x="1"/>
        <item x="2"/>
        <item x="3"/>
        <item x="4"/>
        <item x="5"/>
        <item x="6"/>
        <item x="7"/>
        <item x="8"/>
        <item x="9"/>
        <item x="10"/>
        <item x="11"/>
        <item x="12"/>
        <item x="13"/>
        <item x="14"/>
        <item t="default"/>
      </items>
    </pivotField>
    <pivotField showAll="0"/>
    <pivotField showAll="0">
      <items count="9">
        <item x="5"/>
        <item x="0"/>
        <item x="7"/>
        <item x="1"/>
        <item x="6"/>
        <item x="4"/>
        <item x="3"/>
        <item x="2"/>
        <item t="default"/>
      </items>
    </pivotField>
    <pivotField axis="axisRow" showAll="0">
      <items count="5">
        <item x="0"/>
        <item x="2"/>
        <item x="3"/>
        <item x="1"/>
        <item t="default"/>
      </items>
    </pivotField>
  </pivotFields>
  <rowFields count="1">
    <field x="6"/>
  </rowFields>
  <rowItems count="5">
    <i>
      <x/>
    </i>
    <i>
      <x v="1"/>
    </i>
    <i>
      <x v="2"/>
    </i>
    <i>
      <x v="3"/>
    </i>
    <i t="grand">
      <x/>
    </i>
  </rowItems>
  <colItems count="1">
    <i/>
  </colItems>
  <dataFields count="1">
    <dataField name="Sum of amount" fld="1" baseField="0" baseItem="0"/>
  </dataFields>
  <chartFormats count="2">
    <chartFormat chart="33" format="1"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location ref="G3:H8" firstHeaderRow="1" firstDataRow="1" firstDataCol="1"/>
  <pivotFields count="7">
    <pivotField showAll="0">
      <items count="15">
        <item x="0"/>
        <item x="1"/>
        <item x="2"/>
        <item x="3"/>
        <item x="4"/>
        <item x="5"/>
        <item x="6"/>
        <item x="7"/>
        <item x="8"/>
        <item x="9"/>
        <item x="10"/>
        <item x="11"/>
        <item x="12"/>
        <item x="13"/>
        <item t="default"/>
      </items>
    </pivotField>
    <pivotField showAll="0"/>
    <pivotField showAll="0"/>
    <pivotField numFmtId="14" showAll="0">
      <items count="16">
        <item x="0"/>
        <item x="1"/>
        <item x="2"/>
        <item x="3"/>
        <item x="4"/>
        <item x="5"/>
        <item x="6"/>
        <item x="7"/>
        <item x="8"/>
        <item x="9"/>
        <item x="10"/>
        <item x="11"/>
        <item x="12"/>
        <item x="13"/>
        <item x="14"/>
        <item t="default"/>
      </items>
    </pivotField>
    <pivotField dataField="1" showAll="0"/>
    <pivotField showAll="0">
      <items count="9">
        <item x="5"/>
        <item x="0"/>
        <item x="7"/>
        <item x="1"/>
        <item x="6"/>
        <item x="4"/>
        <item x="3"/>
        <item x="2"/>
        <item t="default"/>
      </items>
    </pivotField>
    <pivotField axis="axisRow" showAll="0">
      <items count="5">
        <item x="0"/>
        <item x="2"/>
        <item x="3"/>
        <item x="1"/>
        <item t="default"/>
      </items>
    </pivotField>
  </pivotFields>
  <rowFields count="1">
    <field x="6"/>
  </rowFields>
  <rowItems count="5">
    <i>
      <x/>
    </i>
    <i>
      <x v="1"/>
    </i>
    <i>
      <x v="2"/>
    </i>
    <i>
      <x v="3"/>
    </i>
    <i t="grand">
      <x/>
    </i>
  </rowItems>
  <colItems count="1">
    <i/>
  </colItems>
  <dataFields count="1">
    <dataField name="Count of status" fld="4" subtotal="count" baseField="6" baseItem="0"/>
  </dataFields>
  <chartFormats count="5">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 chart="31" format="9">
      <pivotArea type="data" outline="0" fieldPosition="0">
        <references count="2">
          <reference field="4294967294" count="1" selected="0">
            <x v="0"/>
          </reference>
          <reference field="6" count="1" selected="0">
            <x v="2"/>
          </reference>
        </references>
      </pivotArea>
    </chartFormat>
    <chartFormat chart="3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1"/>
    <pivotTable tabId="2" name="PivotTable2"/>
    <pivotTable tabId="2" name="PivotTable3"/>
    <pivotTable tabId="2" name="PivotTable4"/>
  </pivotTables>
  <data>
    <tabular pivotCacheId="1">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8"/>
  <sheetViews>
    <sheetView workbookViewId="0">
      <selection activeCell="I25" sqref="I25"/>
    </sheetView>
  </sheetViews>
  <sheetFormatPr defaultRowHeight="15" x14ac:dyDescent="0.25"/>
  <cols>
    <col min="1" max="1" width="13.140625" bestFit="1" customWidth="1"/>
    <col min="2" max="2" width="14.5703125" bestFit="1" customWidth="1"/>
    <col min="4" max="4" width="13.5703125" customWidth="1"/>
    <col min="5" max="5" width="15.7109375" customWidth="1"/>
    <col min="6" max="6" width="14.28515625" bestFit="1" customWidth="1"/>
    <col min="7" max="7" width="13.140625" customWidth="1"/>
    <col min="8" max="8" width="14.5703125" customWidth="1"/>
    <col min="9" max="9" width="14.5703125" bestFit="1" customWidth="1"/>
  </cols>
  <sheetData>
    <row r="3" spans="1:8" x14ac:dyDescent="0.25">
      <c r="A3" s="4" t="s">
        <v>23</v>
      </c>
      <c r="B3" t="s">
        <v>25</v>
      </c>
      <c r="D3" s="4" t="s">
        <v>23</v>
      </c>
      <c r="E3" t="s">
        <v>26</v>
      </c>
      <c r="G3" s="4" t="s">
        <v>23</v>
      </c>
      <c r="H3" t="s">
        <v>27</v>
      </c>
    </row>
    <row r="4" spans="1:8" x14ac:dyDescent="0.25">
      <c r="A4" s="5">
        <v>101</v>
      </c>
      <c r="B4" s="6">
        <v>23</v>
      </c>
      <c r="D4" s="5" t="s">
        <v>19</v>
      </c>
      <c r="E4" s="6">
        <v>1</v>
      </c>
      <c r="G4" s="5" t="s">
        <v>10</v>
      </c>
      <c r="H4" s="6">
        <v>5</v>
      </c>
    </row>
    <row r="5" spans="1:8" x14ac:dyDescent="0.25">
      <c r="A5" s="5">
        <v>102</v>
      </c>
      <c r="B5" s="6">
        <v>26</v>
      </c>
      <c r="D5" s="5" t="s">
        <v>9</v>
      </c>
      <c r="E5" s="6">
        <v>4</v>
      </c>
      <c r="G5" s="5" t="s">
        <v>17</v>
      </c>
      <c r="H5" s="6">
        <v>5</v>
      </c>
    </row>
    <row r="6" spans="1:8" x14ac:dyDescent="0.25">
      <c r="A6" s="5">
        <v>103</v>
      </c>
      <c r="B6" s="6">
        <v>99</v>
      </c>
      <c r="D6" s="5" t="s">
        <v>22</v>
      </c>
      <c r="E6" s="6">
        <v>1</v>
      </c>
      <c r="G6" s="5" t="s">
        <v>20</v>
      </c>
      <c r="H6" s="6">
        <v>2</v>
      </c>
    </row>
    <row r="7" spans="1:8" x14ac:dyDescent="0.25">
      <c r="A7" s="5">
        <v>105</v>
      </c>
      <c r="B7" s="6">
        <v>648</v>
      </c>
      <c r="D7" s="5" t="s">
        <v>12</v>
      </c>
      <c r="E7" s="6">
        <v>4</v>
      </c>
      <c r="G7" s="5" t="s">
        <v>13</v>
      </c>
      <c r="H7" s="6">
        <v>4</v>
      </c>
    </row>
    <row r="8" spans="1:8" x14ac:dyDescent="0.25">
      <c r="A8" s="5">
        <v>106</v>
      </c>
      <c r="B8" s="6">
        <v>498</v>
      </c>
      <c r="D8" s="5" t="s">
        <v>21</v>
      </c>
      <c r="E8" s="6">
        <v>1</v>
      </c>
      <c r="G8" s="5" t="s">
        <v>24</v>
      </c>
      <c r="H8" s="6">
        <v>16</v>
      </c>
    </row>
    <row r="9" spans="1:8" x14ac:dyDescent="0.25">
      <c r="A9" s="5">
        <v>107</v>
      </c>
      <c r="B9" s="6">
        <v>50</v>
      </c>
      <c r="D9" s="5" t="s">
        <v>18</v>
      </c>
      <c r="E9" s="6">
        <v>2</v>
      </c>
    </row>
    <row r="10" spans="1:8" x14ac:dyDescent="0.25">
      <c r="A10" s="5">
        <v>108</v>
      </c>
      <c r="B10" s="6">
        <v>399</v>
      </c>
      <c r="D10" s="5" t="s">
        <v>16</v>
      </c>
      <c r="E10" s="6">
        <v>1</v>
      </c>
    </row>
    <row r="11" spans="1:8" x14ac:dyDescent="0.25">
      <c r="A11" s="5">
        <v>109</v>
      </c>
      <c r="B11" s="6">
        <v>129</v>
      </c>
      <c r="D11" s="5" t="s">
        <v>15</v>
      </c>
      <c r="E11" s="6">
        <v>2</v>
      </c>
    </row>
    <row r="12" spans="1:8" x14ac:dyDescent="0.25">
      <c r="A12" s="5">
        <v>110</v>
      </c>
      <c r="B12" s="6">
        <v>299</v>
      </c>
      <c r="D12" s="5" t="s">
        <v>24</v>
      </c>
      <c r="E12" s="6">
        <v>16</v>
      </c>
    </row>
    <row r="13" spans="1:8" x14ac:dyDescent="0.25">
      <c r="A13" s="5">
        <v>111</v>
      </c>
      <c r="B13" s="6">
        <v>26</v>
      </c>
      <c r="G13" s="4" t="s">
        <v>23</v>
      </c>
      <c r="H13" t="s">
        <v>25</v>
      </c>
    </row>
    <row r="14" spans="1:8" x14ac:dyDescent="0.25">
      <c r="A14" s="5">
        <v>112</v>
      </c>
      <c r="B14" s="6">
        <v>599</v>
      </c>
      <c r="G14" s="5" t="s">
        <v>10</v>
      </c>
      <c r="H14" s="6">
        <v>750</v>
      </c>
    </row>
    <row r="15" spans="1:8" x14ac:dyDescent="0.25">
      <c r="A15" s="5">
        <v>113</v>
      </c>
      <c r="B15" s="6">
        <v>79</v>
      </c>
      <c r="G15" s="5" t="s">
        <v>17</v>
      </c>
      <c r="H15" s="6">
        <v>1022</v>
      </c>
    </row>
    <row r="16" spans="1:8" x14ac:dyDescent="0.25">
      <c r="A16" s="5">
        <v>114</v>
      </c>
      <c r="B16" s="6">
        <v>199</v>
      </c>
      <c r="G16" s="5" t="s">
        <v>20</v>
      </c>
      <c r="H16" s="6">
        <v>428</v>
      </c>
    </row>
    <row r="17" spans="1:8" x14ac:dyDescent="0.25">
      <c r="A17" s="5">
        <v>115</v>
      </c>
      <c r="B17" s="6">
        <v>259</v>
      </c>
      <c r="G17" s="5" t="s">
        <v>13</v>
      </c>
      <c r="H17" s="6">
        <v>1133</v>
      </c>
    </row>
    <row r="18" spans="1:8" x14ac:dyDescent="0.25">
      <c r="A18" s="5" t="s">
        <v>24</v>
      </c>
      <c r="B18" s="6">
        <v>3333</v>
      </c>
      <c r="G18" s="5" t="s">
        <v>24</v>
      </c>
      <c r="H18" s="6">
        <v>3333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Y19" sqref="Y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E27" sqref="E27"/>
    </sheetView>
  </sheetViews>
  <sheetFormatPr defaultRowHeight="15" x14ac:dyDescent="0.25"/>
  <cols>
    <col min="3" max="3" width="18.5703125" customWidth="1"/>
    <col min="4" max="4" width="11.85546875" customWidth="1"/>
    <col min="6" max="6" width="15" customWidth="1"/>
    <col min="7" max="7" width="13.28515625" customWidth="1"/>
  </cols>
  <sheetData>
    <row r="1" spans="1:7" ht="15.75" x14ac:dyDescent="0.25">
      <c r="A1" s="1" t="s">
        <v>0</v>
      </c>
      <c r="B1" s="1" t="s">
        <v>1</v>
      </c>
      <c r="C1" s="1" t="s">
        <v>2</v>
      </c>
      <c r="D1" s="1" t="s">
        <v>3</v>
      </c>
      <c r="E1" s="1" t="s">
        <v>4</v>
      </c>
      <c r="F1" s="1" t="s">
        <v>5</v>
      </c>
      <c r="G1" s="1" t="s">
        <v>6</v>
      </c>
    </row>
    <row r="2" spans="1:7" x14ac:dyDescent="0.25">
      <c r="A2" s="2">
        <v>101</v>
      </c>
      <c r="B2" s="2">
        <v>23</v>
      </c>
      <c r="C2" s="2" t="s">
        <v>7</v>
      </c>
      <c r="D2" s="3">
        <v>45658</v>
      </c>
      <c r="E2" s="2" t="s">
        <v>8</v>
      </c>
      <c r="F2" s="2" t="s">
        <v>9</v>
      </c>
      <c r="G2" s="2" t="s">
        <v>10</v>
      </c>
    </row>
    <row r="3" spans="1:7" x14ac:dyDescent="0.25">
      <c r="A3" s="2">
        <v>102</v>
      </c>
      <c r="B3" s="2">
        <v>26</v>
      </c>
      <c r="C3" s="2" t="s">
        <v>11</v>
      </c>
      <c r="D3" s="3">
        <v>45659</v>
      </c>
      <c r="E3" s="2" t="s">
        <v>8</v>
      </c>
      <c r="F3" s="2" t="s">
        <v>12</v>
      </c>
      <c r="G3" s="2" t="s">
        <v>13</v>
      </c>
    </row>
    <row r="4" spans="1:7" x14ac:dyDescent="0.25">
      <c r="A4" s="2">
        <v>103</v>
      </c>
      <c r="B4" s="2">
        <v>99</v>
      </c>
      <c r="C4" s="2" t="s">
        <v>7</v>
      </c>
      <c r="D4" s="3">
        <v>45660</v>
      </c>
      <c r="E4" s="2" t="s">
        <v>14</v>
      </c>
      <c r="F4" s="2" t="s">
        <v>15</v>
      </c>
      <c r="G4" s="2" t="s">
        <v>10</v>
      </c>
    </row>
    <row r="5" spans="1:7" x14ac:dyDescent="0.25">
      <c r="A5" s="2">
        <v>105</v>
      </c>
      <c r="B5" s="2">
        <v>499</v>
      </c>
      <c r="C5" s="2" t="s">
        <v>11</v>
      </c>
      <c r="D5" s="3">
        <v>45661</v>
      </c>
      <c r="E5" s="2" t="s">
        <v>8</v>
      </c>
      <c r="F5" s="2" t="s">
        <v>16</v>
      </c>
      <c r="G5" s="2" t="s">
        <v>10</v>
      </c>
    </row>
    <row r="6" spans="1:7" x14ac:dyDescent="0.25">
      <c r="A6" s="2">
        <v>105</v>
      </c>
      <c r="B6" s="2">
        <v>149</v>
      </c>
      <c r="C6" s="2" t="s">
        <v>7</v>
      </c>
      <c r="D6" s="3">
        <v>45662</v>
      </c>
      <c r="E6" s="2" t="s">
        <v>8</v>
      </c>
      <c r="F6" s="2" t="s">
        <v>9</v>
      </c>
      <c r="G6" s="2" t="s">
        <v>17</v>
      </c>
    </row>
    <row r="7" spans="1:7" x14ac:dyDescent="0.25">
      <c r="A7" s="2">
        <v>106</v>
      </c>
      <c r="B7" s="2">
        <v>249</v>
      </c>
      <c r="C7" s="2" t="s">
        <v>11</v>
      </c>
      <c r="D7" s="3">
        <v>45663</v>
      </c>
      <c r="E7" s="2" t="s">
        <v>8</v>
      </c>
      <c r="F7" s="2" t="s">
        <v>12</v>
      </c>
      <c r="G7" s="2" t="s">
        <v>13</v>
      </c>
    </row>
    <row r="8" spans="1:7" x14ac:dyDescent="0.25">
      <c r="A8" s="2">
        <v>106</v>
      </c>
      <c r="B8" s="2">
        <v>249</v>
      </c>
      <c r="C8" s="2" t="s">
        <v>11</v>
      </c>
      <c r="D8" s="3">
        <v>45663</v>
      </c>
      <c r="E8" s="2" t="s">
        <v>8</v>
      </c>
      <c r="F8" s="2" t="s">
        <v>12</v>
      </c>
      <c r="G8" s="2" t="s">
        <v>17</v>
      </c>
    </row>
    <row r="9" spans="1:7" x14ac:dyDescent="0.25">
      <c r="A9" s="2">
        <v>107</v>
      </c>
      <c r="B9" s="2">
        <v>50</v>
      </c>
      <c r="C9" s="2" t="s">
        <v>7</v>
      </c>
      <c r="D9" s="3">
        <v>45664</v>
      </c>
      <c r="E9" s="2" t="s">
        <v>14</v>
      </c>
      <c r="F9" s="2" t="s">
        <v>18</v>
      </c>
      <c r="G9" s="2" t="s">
        <v>10</v>
      </c>
    </row>
    <row r="10" spans="1:7" x14ac:dyDescent="0.25">
      <c r="A10" s="2">
        <v>108</v>
      </c>
      <c r="B10" s="2">
        <v>399</v>
      </c>
      <c r="C10" s="2" t="s">
        <v>11</v>
      </c>
      <c r="D10" s="3">
        <v>45665</v>
      </c>
      <c r="E10" s="2" t="s">
        <v>8</v>
      </c>
      <c r="F10" s="2" t="s">
        <v>19</v>
      </c>
      <c r="G10" s="2" t="s">
        <v>17</v>
      </c>
    </row>
    <row r="11" spans="1:7" x14ac:dyDescent="0.25">
      <c r="A11" s="2">
        <v>109</v>
      </c>
      <c r="B11" s="2">
        <v>129</v>
      </c>
      <c r="C11" s="2" t="s">
        <v>7</v>
      </c>
      <c r="D11" s="3">
        <v>45666</v>
      </c>
      <c r="E11" s="2" t="s">
        <v>8</v>
      </c>
      <c r="F11" s="2" t="s">
        <v>15</v>
      </c>
      <c r="G11" s="2" t="s">
        <v>20</v>
      </c>
    </row>
    <row r="12" spans="1:7" x14ac:dyDescent="0.25">
      <c r="A12" s="2">
        <v>110</v>
      </c>
      <c r="B12" s="2">
        <v>299</v>
      </c>
      <c r="C12" s="2" t="s">
        <v>11</v>
      </c>
      <c r="D12" s="3">
        <v>45667</v>
      </c>
      <c r="E12" s="2" t="s">
        <v>8</v>
      </c>
      <c r="F12" s="2" t="s">
        <v>12</v>
      </c>
      <c r="G12" s="2" t="s">
        <v>20</v>
      </c>
    </row>
    <row r="13" spans="1:7" x14ac:dyDescent="0.25">
      <c r="A13" s="2">
        <v>111</v>
      </c>
      <c r="B13" s="2">
        <v>26</v>
      </c>
      <c r="C13" s="2" t="s">
        <v>7</v>
      </c>
      <c r="D13" s="3">
        <v>45668</v>
      </c>
      <c r="E13" s="2" t="s">
        <v>8</v>
      </c>
      <c r="F13" s="2" t="s">
        <v>9</v>
      </c>
      <c r="G13" s="2" t="s">
        <v>17</v>
      </c>
    </row>
    <row r="14" spans="1:7" x14ac:dyDescent="0.25">
      <c r="A14" s="2">
        <v>112</v>
      </c>
      <c r="B14" s="2">
        <v>599</v>
      </c>
      <c r="C14" s="2" t="s">
        <v>11</v>
      </c>
      <c r="D14" s="3">
        <v>45669</v>
      </c>
      <c r="E14" s="2" t="s">
        <v>8</v>
      </c>
      <c r="F14" s="2" t="s">
        <v>21</v>
      </c>
      <c r="G14" s="2" t="s">
        <v>13</v>
      </c>
    </row>
    <row r="15" spans="1:7" x14ac:dyDescent="0.25">
      <c r="A15" s="2">
        <v>113</v>
      </c>
      <c r="B15" s="2">
        <v>79</v>
      </c>
      <c r="C15" s="2" t="s">
        <v>7</v>
      </c>
      <c r="D15" s="3">
        <v>45670</v>
      </c>
      <c r="E15" s="2" t="s">
        <v>14</v>
      </c>
      <c r="F15" s="2" t="s">
        <v>18</v>
      </c>
      <c r="G15" s="2" t="s">
        <v>10</v>
      </c>
    </row>
    <row r="16" spans="1:7" x14ac:dyDescent="0.25">
      <c r="A16" s="2">
        <v>114</v>
      </c>
      <c r="B16" s="2">
        <v>199</v>
      </c>
      <c r="C16" s="2" t="s">
        <v>11</v>
      </c>
      <c r="D16" s="3">
        <v>45671</v>
      </c>
      <c r="E16" s="2" t="s">
        <v>8</v>
      </c>
      <c r="F16" s="2" t="s">
        <v>22</v>
      </c>
      <c r="G16" s="2" t="s">
        <v>17</v>
      </c>
    </row>
    <row r="17" spans="1:7" x14ac:dyDescent="0.25">
      <c r="A17" s="2">
        <v>115</v>
      </c>
      <c r="B17" s="2">
        <v>259</v>
      </c>
      <c r="C17" s="2" t="s">
        <v>7</v>
      </c>
      <c r="D17" s="3">
        <v>45672</v>
      </c>
      <c r="E17" s="2" t="s">
        <v>8</v>
      </c>
      <c r="F17" s="2" t="s">
        <v>9</v>
      </c>
      <c r="G17" s="2" t="s">
        <v>13</v>
      </c>
    </row>
  </sheetData>
  <conditionalFormatting sqref="B2:B17">
    <cfRule type="cellIs" dxfId="0" priority="1" operator="lessThan">
      <formula>100</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rechargedata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ITCS</dc:creator>
  <cp:lastModifiedBy>DELL</cp:lastModifiedBy>
  <dcterms:created xsi:type="dcterms:W3CDTF">2025-11-28T09:02:27Z</dcterms:created>
  <dcterms:modified xsi:type="dcterms:W3CDTF">2025-12-06T13:27:12Z</dcterms:modified>
</cp:coreProperties>
</file>